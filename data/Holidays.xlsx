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Projects\DateGenerator\data\"/>
    </mc:Choice>
  </mc:AlternateContent>
  <bookViews>
    <workbookView xWindow="0" yWindow="0" windowWidth="26083" windowHeight="12648" activeTab="1"/>
  </bookViews>
  <sheets>
    <sheet name="Holidays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L6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" i="1"/>
  <c r="K1" i="1" s="1"/>
  <c r="H1" i="1"/>
  <c r="I1" i="1" s="1"/>
  <c r="I2" i="1"/>
  <c r="I10" i="1"/>
  <c r="I16" i="1"/>
  <c r="I18" i="1"/>
  <c r="I26" i="1"/>
  <c r="H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H11" i="1"/>
  <c r="I11" i="1" s="1"/>
  <c r="H12" i="1"/>
  <c r="I12" i="1" s="1"/>
  <c r="H13" i="1"/>
  <c r="I13" i="1" s="1"/>
  <c r="H14" i="1"/>
  <c r="I14" i="1" s="1"/>
  <c r="H15" i="1"/>
  <c r="I15" i="1" s="1"/>
  <c r="H16" i="1"/>
  <c r="H17" i="1"/>
  <c r="I17" i="1" s="1"/>
  <c r="H18" i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H27" i="1"/>
  <c r="I27" i="1" s="1"/>
  <c r="H28" i="1"/>
  <c r="I28" i="1" s="1"/>
  <c r="H29" i="1"/>
  <c r="I29" i="1" s="1"/>
  <c r="H30" i="1"/>
  <c r="I30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" i="1"/>
  <c r="G3" i="1"/>
</calcChain>
</file>

<file path=xl/sharedStrings.xml><?xml version="1.0" encoding="utf-8"?>
<sst xmlns="http://schemas.openxmlformats.org/spreadsheetml/2006/main" count="56" uniqueCount="45">
  <si>
    <t>Date</t>
  </si>
  <si>
    <t xml:space="preserve">New Year's Day </t>
  </si>
  <si>
    <t xml:space="preserve">Martin Luther King Jr. Day </t>
  </si>
  <si>
    <t xml:space="preserve">Presidents' Day </t>
  </si>
  <si>
    <t xml:space="preserve">Memorial Day </t>
  </si>
  <si>
    <t xml:space="preserve">Juneteenth </t>
  </si>
  <si>
    <t xml:space="preserve">Independence Day </t>
  </si>
  <si>
    <t xml:space="preserve">Labor Day </t>
  </si>
  <si>
    <t xml:space="preserve">Columbus Day </t>
  </si>
  <si>
    <t xml:space="preserve">Veterans Day </t>
  </si>
  <si>
    <t xml:space="preserve">Thanksgiving Day </t>
  </si>
  <si>
    <t xml:space="preserve">Christmas Day </t>
  </si>
  <si>
    <t>Title</t>
  </si>
  <si>
    <t>MonthNum</t>
  </si>
  <si>
    <t>Day</t>
  </si>
  <si>
    <t>WeekNum</t>
  </si>
  <si>
    <t>DayofWeekNum</t>
  </si>
  <si>
    <t>Notes</t>
  </si>
  <si>
    <t>New Year's Day</t>
  </si>
  <si>
    <t>Memorial Day</t>
  </si>
  <si>
    <t>Independence Day</t>
  </si>
  <si>
    <t>Labor Day</t>
  </si>
  <si>
    <t>Columbus Day</t>
  </si>
  <si>
    <t>Always on the 11th</t>
  </si>
  <si>
    <t>Thanksgiving Day</t>
  </si>
  <si>
    <t>Christmas Day</t>
  </si>
  <si>
    <t>HolidayType</t>
  </si>
  <si>
    <t>Federal</t>
  </si>
  <si>
    <t>Always on January 1st</t>
  </si>
  <si>
    <t>Third Monday in January</t>
  </si>
  <si>
    <t>The last Monday in May. Note: The week number may vary as May can have 4 or 5 weeks.</t>
  </si>
  <si>
    <t>Always falls on June 19th</t>
  </si>
  <si>
    <t>Always on July 4th</t>
  </si>
  <si>
    <t>First Monday in September</t>
  </si>
  <si>
    <t>Second Monday in October</t>
  </si>
  <si>
    <t>Fourth Thursday of November</t>
  </si>
  <si>
    <t>Always on December 25th</t>
  </si>
  <si>
    <t>Inauguration Day</t>
  </si>
  <si>
    <t>This holiday is designated as "Inauguration Day" in section 6103(c) of title 5 of the United States Code, which is the law that specifies holidays for Federal employees. Federal employees in the Washington, DC, area are entitled to a holiday on the day a President is inaugurated on January 20th for each fourth year after 1965</t>
  </si>
  <si>
    <t>Juneteenth National Independence Day</t>
  </si>
  <si>
    <t>Washington’s Birthday</t>
  </si>
  <si>
    <t>Birthday of Martin Luther King, Jr.</t>
  </si>
  <si>
    <t>FixedHoliday</t>
  </si>
  <si>
    <t>Third Monday in February</t>
  </si>
  <si>
    <t>Veterans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</si>
</sst>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C0D0E"/>
      <name val="Cascadia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18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13" totalsRowShown="0">
  <autoFilter ref="A1:H13"/>
  <tableColumns count="8">
    <tableColumn id="2" name="Title"/>
    <tableColumn id="3" name="MonthNum" dataDxfId="3"/>
    <tableColumn id="4" name="Day" dataDxfId="2"/>
    <tableColumn id="5" name="WeekNum" dataDxfId="1"/>
    <tableColumn id="6" name="DayofWeekNum" dataDxfId="0"/>
    <tableColumn id="8" name="HolidayType"/>
    <tableColumn id="1" name="FixedHoliday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D2" sqref="D2"/>
    </sheetView>
  </sheetViews>
  <sheetFormatPr defaultRowHeight="14.3" x14ac:dyDescent="0.25"/>
  <cols>
    <col min="1" max="1" width="22.625" bestFit="1" customWidth="1"/>
    <col min="2" max="2" width="10.375" bestFit="1" customWidth="1"/>
    <col min="4" max="5" width="11.875" bestFit="1" customWidth="1"/>
    <col min="7" max="8" width="9.375" bestFit="1" customWidth="1"/>
    <col min="10" max="10" width="9.875" style="1" bestFit="1" customWidth="1"/>
    <col min="12" max="12" width="9.375" bestFit="1" customWidth="1"/>
  </cols>
  <sheetData>
    <row r="1" spans="1:12" x14ac:dyDescent="0.25">
      <c r="A1" s="1">
        <v>45413</v>
      </c>
      <c r="B1" t="s">
        <v>0</v>
      </c>
      <c r="D1" s="1">
        <v>45413</v>
      </c>
      <c r="E1">
        <f>INT(((EOMONTH(D1,0)-D1+MOD(D1-3,7)+1)/7))</f>
        <v>4</v>
      </c>
      <c r="H1" s="1">
        <f>DATE(YEAR(D1),MONTH(D1)+1,1)-1-WEEKDAY(DATE(YEAR(D1),MONTH(D1)+1,1)-3)</f>
        <v>45439</v>
      </c>
      <c r="I1" t="str">
        <f>TEXT(H1,"ddd")</f>
        <v>Mon</v>
      </c>
      <c r="J1" s="2">
        <f>EOMONTH(D1,0)+1-WEEKDAY(EOMONTH(D1,0)+1-2)</f>
        <v>45439</v>
      </c>
      <c r="K1">
        <f>WEEKDAY(J1)</f>
        <v>2</v>
      </c>
    </row>
    <row r="2" spans="1:12" x14ac:dyDescent="0.25">
      <c r="A2" t="s">
        <v>1</v>
      </c>
      <c r="B2" s="1">
        <v>45292</v>
      </c>
      <c r="D2" s="1">
        <v>45778</v>
      </c>
      <c r="E2">
        <f t="shared" ref="E2:E30" si="0">INT(((EOMONTH(D2,0)-D2+MOD(D2-3,7)+1)/7))</f>
        <v>4</v>
      </c>
      <c r="H2" s="1">
        <f t="shared" ref="H2:H30" si="1">DATE(YEAR(D2),MONTH(D2)+1,1)-1-WEEKDAY(DATE(YEAR(D2),MONTH(D2)+1,1)-3)</f>
        <v>45803</v>
      </c>
      <c r="I2" t="str">
        <f t="shared" ref="I2:I30" si="2">TEXT(H2,"ddd")</f>
        <v>Mon</v>
      </c>
      <c r="J2" s="2">
        <f t="shared" ref="J2:J30" si="3">EOMONTH(D2,0)+1-WEEKDAY(EOMONTH(D2,0)+1-2)</f>
        <v>45803</v>
      </c>
    </row>
    <row r="3" spans="1:12" x14ac:dyDescent="0.25">
      <c r="A3" t="s">
        <v>2</v>
      </c>
      <c r="B3" s="1">
        <v>45306</v>
      </c>
      <c r="D3" s="1">
        <v>46143</v>
      </c>
      <c r="E3">
        <f t="shared" si="0"/>
        <v>4</v>
      </c>
      <c r="G3" s="1">
        <f>EOMONTH(D1,0)</f>
        <v>45443</v>
      </c>
      <c r="H3" s="1">
        <f t="shared" si="1"/>
        <v>46167</v>
      </c>
      <c r="I3" t="str">
        <f t="shared" si="2"/>
        <v>Mon</v>
      </c>
      <c r="J3" s="2">
        <f t="shared" si="3"/>
        <v>46167</v>
      </c>
    </row>
    <row r="4" spans="1:12" x14ac:dyDescent="0.25">
      <c r="A4" t="s">
        <v>3</v>
      </c>
      <c r="B4" s="1">
        <v>45341</v>
      </c>
      <c r="D4" s="1">
        <v>46508</v>
      </c>
      <c r="E4">
        <f t="shared" si="0"/>
        <v>5</v>
      </c>
      <c r="H4" s="1">
        <f t="shared" si="1"/>
        <v>46531</v>
      </c>
      <c r="I4" t="str">
        <f t="shared" si="2"/>
        <v>Mon</v>
      </c>
      <c r="J4" s="2">
        <f t="shared" si="3"/>
        <v>46538</v>
      </c>
    </row>
    <row r="5" spans="1:12" x14ac:dyDescent="0.25">
      <c r="A5" t="s">
        <v>4</v>
      </c>
      <c r="B5" s="1">
        <v>45439</v>
      </c>
      <c r="D5" s="1">
        <v>46874</v>
      </c>
      <c r="E5">
        <f t="shared" si="0"/>
        <v>5</v>
      </c>
      <c r="H5" s="1">
        <f t="shared" si="1"/>
        <v>46902</v>
      </c>
      <c r="I5" t="str">
        <f t="shared" si="2"/>
        <v>Mon</v>
      </c>
      <c r="J5" s="2">
        <f t="shared" si="3"/>
        <v>46902</v>
      </c>
      <c r="L5" s="1">
        <v>45424</v>
      </c>
    </row>
    <row r="6" spans="1:12" x14ac:dyDescent="0.25">
      <c r="A6" t="s">
        <v>5</v>
      </c>
      <c r="B6" s="1">
        <v>45462</v>
      </c>
      <c r="D6" s="1">
        <v>47239</v>
      </c>
      <c r="E6">
        <f t="shared" si="0"/>
        <v>4</v>
      </c>
      <c r="H6" s="1">
        <f t="shared" si="1"/>
        <v>47266</v>
      </c>
      <c r="I6" t="str">
        <f t="shared" si="2"/>
        <v>Mon</v>
      </c>
      <c r="J6" s="2">
        <f t="shared" si="3"/>
        <v>47266</v>
      </c>
      <c r="L6">
        <f>WEEKDAY(L5)</f>
        <v>1</v>
      </c>
    </row>
    <row r="7" spans="1:12" x14ac:dyDescent="0.25">
      <c r="A7" t="s">
        <v>6</v>
      </c>
      <c r="B7" s="1">
        <v>45477</v>
      </c>
      <c r="D7" s="1">
        <v>47604</v>
      </c>
      <c r="E7">
        <f t="shared" si="0"/>
        <v>4</v>
      </c>
      <c r="H7" s="1">
        <f t="shared" si="1"/>
        <v>47630</v>
      </c>
      <c r="I7" t="str">
        <f t="shared" si="2"/>
        <v>Mon</v>
      </c>
      <c r="J7" s="2">
        <f t="shared" si="3"/>
        <v>47630</v>
      </c>
    </row>
    <row r="8" spans="1:12" x14ac:dyDescent="0.25">
      <c r="A8" t="s">
        <v>7</v>
      </c>
      <c r="B8" s="1">
        <v>45537</v>
      </c>
      <c r="D8" s="1">
        <v>47969</v>
      </c>
      <c r="E8">
        <f t="shared" si="0"/>
        <v>4</v>
      </c>
      <c r="H8" s="1">
        <f t="shared" si="1"/>
        <v>47994</v>
      </c>
      <c r="I8" t="str">
        <f t="shared" si="2"/>
        <v>Mon</v>
      </c>
      <c r="J8" s="2">
        <f t="shared" si="3"/>
        <v>47994</v>
      </c>
    </row>
    <row r="9" spans="1:12" x14ac:dyDescent="0.25">
      <c r="A9" t="s">
        <v>8</v>
      </c>
      <c r="B9" s="1">
        <v>45579</v>
      </c>
      <c r="D9" s="1">
        <v>48335</v>
      </c>
      <c r="E9">
        <f t="shared" si="0"/>
        <v>5</v>
      </c>
      <c r="H9" s="1">
        <f t="shared" si="1"/>
        <v>48358</v>
      </c>
      <c r="I9" t="str">
        <f t="shared" si="2"/>
        <v>Mon</v>
      </c>
      <c r="J9" s="2">
        <f t="shared" si="3"/>
        <v>48365</v>
      </c>
    </row>
    <row r="10" spans="1:12" x14ac:dyDescent="0.25">
      <c r="A10" t="s">
        <v>9</v>
      </c>
      <c r="B10" s="1">
        <v>45607</v>
      </c>
      <c r="D10" s="1">
        <v>48700</v>
      </c>
      <c r="E10">
        <f t="shared" si="0"/>
        <v>5</v>
      </c>
      <c r="H10" s="1">
        <f t="shared" si="1"/>
        <v>48729</v>
      </c>
      <c r="I10" t="str">
        <f t="shared" si="2"/>
        <v>Mon</v>
      </c>
      <c r="J10" s="2">
        <f t="shared" si="3"/>
        <v>48729</v>
      </c>
    </row>
    <row r="11" spans="1:12" x14ac:dyDescent="0.25">
      <c r="A11" t="s">
        <v>10</v>
      </c>
      <c r="B11" s="1">
        <v>45624</v>
      </c>
      <c r="D11" s="1">
        <v>49065</v>
      </c>
      <c r="E11">
        <f t="shared" si="0"/>
        <v>5</v>
      </c>
      <c r="H11" s="1">
        <f t="shared" si="1"/>
        <v>49093</v>
      </c>
      <c r="I11" t="str">
        <f t="shared" si="2"/>
        <v>Mon</v>
      </c>
      <c r="J11" s="2">
        <f t="shared" si="3"/>
        <v>49093</v>
      </c>
    </row>
    <row r="12" spans="1:12" x14ac:dyDescent="0.25">
      <c r="A12" t="s">
        <v>11</v>
      </c>
      <c r="B12" s="1">
        <v>45651</v>
      </c>
      <c r="D12" s="1">
        <v>49430</v>
      </c>
      <c r="E12">
        <f t="shared" si="0"/>
        <v>4</v>
      </c>
      <c r="H12" s="1">
        <f t="shared" si="1"/>
        <v>49457</v>
      </c>
      <c r="I12" t="str">
        <f t="shared" si="2"/>
        <v>Mon</v>
      </c>
      <c r="J12" s="2">
        <f t="shared" si="3"/>
        <v>49457</v>
      </c>
    </row>
    <row r="13" spans="1:12" x14ac:dyDescent="0.25">
      <c r="D13" s="1">
        <v>49796</v>
      </c>
      <c r="E13">
        <f t="shared" si="0"/>
        <v>4</v>
      </c>
      <c r="H13" s="1">
        <f t="shared" si="1"/>
        <v>49821</v>
      </c>
      <c r="I13" t="str">
        <f t="shared" si="2"/>
        <v>Mon</v>
      </c>
      <c r="J13" s="2">
        <f t="shared" si="3"/>
        <v>49821</v>
      </c>
    </row>
    <row r="14" spans="1:12" x14ac:dyDescent="0.25">
      <c r="D14" s="1">
        <v>50161</v>
      </c>
      <c r="E14">
        <f t="shared" si="0"/>
        <v>4</v>
      </c>
      <c r="H14" s="1">
        <f t="shared" si="1"/>
        <v>50185</v>
      </c>
      <c r="I14" t="str">
        <f t="shared" si="2"/>
        <v>Mon</v>
      </c>
      <c r="J14" s="2">
        <f t="shared" si="3"/>
        <v>50185</v>
      </c>
    </row>
    <row r="15" spans="1:12" x14ac:dyDescent="0.25">
      <c r="D15" s="1">
        <v>50526</v>
      </c>
      <c r="E15">
        <f t="shared" si="0"/>
        <v>5</v>
      </c>
      <c r="H15" s="1">
        <f t="shared" si="1"/>
        <v>50549</v>
      </c>
      <c r="I15" t="str">
        <f t="shared" si="2"/>
        <v>Mon</v>
      </c>
      <c r="J15" s="2">
        <f t="shared" si="3"/>
        <v>50556</v>
      </c>
    </row>
    <row r="16" spans="1:12" x14ac:dyDescent="0.25">
      <c r="D16" s="1">
        <v>50891</v>
      </c>
      <c r="E16">
        <f t="shared" si="0"/>
        <v>5</v>
      </c>
      <c r="H16" s="1">
        <f t="shared" si="1"/>
        <v>50920</v>
      </c>
      <c r="I16" t="str">
        <f t="shared" si="2"/>
        <v>Mon</v>
      </c>
      <c r="J16" s="2">
        <f t="shared" si="3"/>
        <v>50920</v>
      </c>
    </row>
    <row r="17" spans="4:10" x14ac:dyDescent="0.25">
      <c r="D17" s="1">
        <v>51257</v>
      </c>
      <c r="E17">
        <f t="shared" si="0"/>
        <v>4</v>
      </c>
      <c r="H17" s="1">
        <f t="shared" si="1"/>
        <v>51284</v>
      </c>
      <c r="I17" t="str">
        <f t="shared" si="2"/>
        <v>Mon</v>
      </c>
      <c r="J17" s="2">
        <f t="shared" si="3"/>
        <v>51284</v>
      </c>
    </row>
    <row r="18" spans="4:10" x14ac:dyDescent="0.25">
      <c r="D18" s="1">
        <v>51622</v>
      </c>
      <c r="E18">
        <f t="shared" si="0"/>
        <v>4</v>
      </c>
      <c r="H18" s="1">
        <f t="shared" si="1"/>
        <v>51648</v>
      </c>
      <c r="I18" t="str">
        <f t="shared" si="2"/>
        <v>Mon</v>
      </c>
      <c r="J18" s="2">
        <f t="shared" si="3"/>
        <v>51648</v>
      </c>
    </row>
    <row r="19" spans="4:10" x14ac:dyDescent="0.25">
      <c r="D19" s="1">
        <v>51987</v>
      </c>
      <c r="E19">
        <f t="shared" si="0"/>
        <v>4</v>
      </c>
      <c r="H19" s="1">
        <f t="shared" si="1"/>
        <v>52012</v>
      </c>
      <c r="I19" t="str">
        <f t="shared" si="2"/>
        <v>Mon</v>
      </c>
      <c r="J19" s="2">
        <f t="shared" si="3"/>
        <v>52012</v>
      </c>
    </row>
    <row r="20" spans="4:10" x14ac:dyDescent="0.25">
      <c r="D20" s="1">
        <v>52352</v>
      </c>
      <c r="E20">
        <f t="shared" si="0"/>
        <v>4</v>
      </c>
      <c r="H20" s="1">
        <f t="shared" si="1"/>
        <v>52376</v>
      </c>
      <c r="I20" t="str">
        <f t="shared" si="2"/>
        <v>Mon</v>
      </c>
      <c r="J20" s="2">
        <f t="shared" si="3"/>
        <v>52376</v>
      </c>
    </row>
    <row r="21" spans="4:10" x14ac:dyDescent="0.25">
      <c r="D21" s="1">
        <v>52718</v>
      </c>
      <c r="E21">
        <f t="shared" si="0"/>
        <v>5</v>
      </c>
      <c r="H21" s="1">
        <f t="shared" si="1"/>
        <v>52747</v>
      </c>
      <c r="I21" t="str">
        <f t="shared" si="2"/>
        <v>Mon</v>
      </c>
      <c r="J21" s="2">
        <f t="shared" si="3"/>
        <v>52747</v>
      </c>
    </row>
    <row r="22" spans="4:10" x14ac:dyDescent="0.25">
      <c r="D22" s="1">
        <v>53083</v>
      </c>
      <c r="E22">
        <f t="shared" si="0"/>
        <v>5</v>
      </c>
      <c r="H22" s="1">
        <f t="shared" si="1"/>
        <v>53111</v>
      </c>
      <c r="I22" t="str">
        <f t="shared" si="2"/>
        <v>Mon</v>
      </c>
      <c r="J22" s="2">
        <f t="shared" si="3"/>
        <v>53111</v>
      </c>
    </row>
    <row r="23" spans="4:10" x14ac:dyDescent="0.25">
      <c r="D23" s="1">
        <v>53448</v>
      </c>
      <c r="E23">
        <f t="shared" si="0"/>
        <v>4</v>
      </c>
      <c r="H23" s="1">
        <f t="shared" si="1"/>
        <v>53475</v>
      </c>
      <c r="I23" t="str">
        <f t="shared" si="2"/>
        <v>Mon</v>
      </c>
      <c r="J23" s="2">
        <f t="shared" si="3"/>
        <v>53475</v>
      </c>
    </row>
    <row r="24" spans="4:10" x14ac:dyDescent="0.25">
      <c r="D24" s="1">
        <v>53813</v>
      </c>
      <c r="E24">
        <f t="shared" si="0"/>
        <v>4</v>
      </c>
      <c r="H24" s="1">
        <f t="shared" si="1"/>
        <v>53839</v>
      </c>
      <c r="I24" t="str">
        <f t="shared" si="2"/>
        <v>Mon</v>
      </c>
      <c r="J24" s="2">
        <f t="shared" si="3"/>
        <v>53839</v>
      </c>
    </row>
    <row r="25" spans="4:10" x14ac:dyDescent="0.25">
      <c r="D25" s="1">
        <v>54179</v>
      </c>
      <c r="E25">
        <f t="shared" si="0"/>
        <v>4</v>
      </c>
      <c r="H25" s="1">
        <f t="shared" si="1"/>
        <v>54203</v>
      </c>
      <c r="I25" t="str">
        <f t="shared" si="2"/>
        <v>Mon</v>
      </c>
      <c r="J25" s="2">
        <f t="shared" si="3"/>
        <v>54203</v>
      </c>
    </row>
    <row r="26" spans="4:10" x14ac:dyDescent="0.25">
      <c r="D26" s="1">
        <v>54544</v>
      </c>
      <c r="E26">
        <f t="shared" si="0"/>
        <v>5</v>
      </c>
      <c r="H26" s="1">
        <f t="shared" si="1"/>
        <v>54567</v>
      </c>
      <c r="I26" t="str">
        <f t="shared" si="2"/>
        <v>Mon</v>
      </c>
      <c r="J26" s="2">
        <f t="shared" si="3"/>
        <v>54574</v>
      </c>
    </row>
    <row r="27" spans="4:10" x14ac:dyDescent="0.25">
      <c r="D27" s="1">
        <v>54909</v>
      </c>
      <c r="E27">
        <f t="shared" si="0"/>
        <v>5</v>
      </c>
      <c r="H27" s="1">
        <f t="shared" si="1"/>
        <v>54938</v>
      </c>
      <c r="I27" t="str">
        <f t="shared" si="2"/>
        <v>Mon</v>
      </c>
      <c r="J27" s="2">
        <f t="shared" si="3"/>
        <v>54938</v>
      </c>
    </row>
    <row r="28" spans="4:10" x14ac:dyDescent="0.25">
      <c r="D28" s="1">
        <v>55274</v>
      </c>
      <c r="E28">
        <f t="shared" si="0"/>
        <v>5</v>
      </c>
      <c r="H28" s="1">
        <f t="shared" si="1"/>
        <v>55302</v>
      </c>
      <c r="I28" t="str">
        <f t="shared" si="2"/>
        <v>Mon</v>
      </c>
      <c r="J28" s="2">
        <f t="shared" si="3"/>
        <v>55302</v>
      </c>
    </row>
    <row r="29" spans="4:10" x14ac:dyDescent="0.25">
      <c r="D29" s="1">
        <v>55640</v>
      </c>
      <c r="E29">
        <f t="shared" si="0"/>
        <v>4</v>
      </c>
      <c r="H29" s="1">
        <f t="shared" si="1"/>
        <v>55666</v>
      </c>
      <c r="I29" t="str">
        <f t="shared" si="2"/>
        <v>Mon</v>
      </c>
      <c r="J29" s="2">
        <f t="shared" si="3"/>
        <v>55666</v>
      </c>
    </row>
    <row r="30" spans="4:10" x14ac:dyDescent="0.25">
      <c r="D30" s="1">
        <v>56005</v>
      </c>
      <c r="E30">
        <f t="shared" si="0"/>
        <v>4</v>
      </c>
      <c r="H30" s="1">
        <f t="shared" si="1"/>
        <v>56030</v>
      </c>
      <c r="I30" t="str">
        <f t="shared" si="2"/>
        <v>Mon</v>
      </c>
      <c r="J30" s="2">
        <f t="shared" si="3"/>
        <v>56030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A7" sqref="A7"/>
    </sheetView>
  </sheetViews>
  <sheetFormatPr defaultRowHeight="14.3" x14ac:dyDescent="0.25"/>
  <cols>
    <col min="1" max="1" width="22.125" bestFit="1" customWidth="1"/>
    <col min="2" max="2" width="13" style="3" customWidth="1"/>
    <col min="3" max="3" width="9" style="3"/>
    <col min="4" max="4" width="12" style="3" customWidth="1"/>
    <col min="5" max="5" width="17" style="3" customWidth="1"/>
    <col min="6" max="7" width="17" customWidth="1"/>
    <col min="8" max="8" width="101.625" bestFit="1" customWidth="1"/>
  </cols>
  <sheetData>
    <row r="1" spans="1:8" x14ac:dyDescent="0.25">
      <c r="A1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t="s">
        <v>26</v>
      </c>
      <c r="G1" t="s">
        <v>42</v>
      </c>
      <c r="H1" t="s">
        <v>17</v>
      </c>
    </row>
    <row r="2" spans="1:8" x14ac:dyDescent="0.25">
      <c r="A2" t="s">
        <v>18</v>
      </c>
      <c r="B2" s="3">
        <v>1</v>
      </c>
      <c r="C2" s="3">
        <v>1</v>
      </c>
      <c r="D2" s="3">
        <v>0</v>
      </c>
      <c r="E2" s="3">
        <v>0</v>
      </c>
      <c r="F2" t="s">
        <v>27</v>
      </c>
      <c r="G2" t="b">
        <v>1</v>
      </c>
      <c r="H2" t="s">
        <v>28</v>
      </c>
    </row>
    <row r="3" spans="1:8" x14ac:dyDescent="0.25">
      <c r="A3" t="s">
        <v>41</v>
      </c>
      <c r="B3" s="3">
        <v>1</v>
      </c>
      <c r="C3" s="3">
        <v>0</v>
      </c>
      <c r="D3" s="3">
        <v>3</v>
      </c>
      <c r="E3" s="3">
        <v>2</v>
      </c>
      <c r="F3" t="s">
        <v>27</v>
      </c>
      <c r="G3" t="b">
        <v>0</v>
      </c>
      <c r="H3" t="s">
        <v>29</v>
      </c>
    </row>
    <row r="4" spans="1:8" x14ac:dyDescent="0.25">
      <c r="A4" t="s">
        <v>40</v>
      </c>
      <c r="B4" s="3">
        <v>2</v>
      </c>
      <c r="C4" s="3">
        <v>0</v>
      </c>
      <c r="D4" s="3">
        <v>3</v>
      </c>
      <c r="E4" s="3">
        <v>2</v>
      </c>
      <c r="F4" t="s">
        <v>27</v>
      </c>
      <c r="G4" t="b">
        <v>0</v>
      </c>
      <c r="H4" t="s">
        <v>43</v>
      </c>
    </row>
    <row r="5" spans="1:8" x14ac:dyDescent="0.25">
      <c r="A5" t="s">
        <v>19</v>
      </c>
      <c r="B5" s="3">
        <v>5</v>
      </c>
      <c r="C5" s="3">
        <v>0</v>
      </c>
      <c r="D5" s="3">
        <v>0</v>
      </c>
      <c r="E5" s="3">
        <v>2</v>
      </c>
      <c r="F5" t="s">
        <v>27</v>
      </c>
      <c r="G5" t="b">
        <v>0</v>
      </c>
      <c r="H5" t="s">
        <v>30</v>
      </c>
    </row>
    <row r="6" spans="1:8" x14ac:dyDescent="0.25">
      <c r="A6" t="s">
        <v>39</v>
      </c>
      <c r="B6" s="3">
        <v>6</v>
      </c>
      <c r="C6" s="3">
        <v>19</v>
      </c>
      <c r="D6" s="3">
        <v>0</v>
      </c>
      <c r="E6" s="3">
        <v>2</v>
      </c>
      <c r="F6" t="s">
        <v>27</v>
      </c>
      <c r="G6" t="b">
        <v>1</v>
      </c>
      <c r="H6" t="s">
        <v>31</v>
      </c>
    </row>
    <row r="7" spans="1:8" x14ac:dyDescent="0.25">
      <c r="A7" t="s">
        <v>20</v>
      </c>
      <c r="B7" s="3">
        <v>7</v>
      </c>
      <c r="C7" s="3">
        <v>4</v>
      </c>
      <c r="D7" s="3">
        <v>0</v>
      </c>
      <c r="E7" s="3">
        <v>2</v>
      </c>
      <c r="F7" t="s">
        <v>27</v>
      </c>
      <c r="G7" t="b">
        <v>1</v>
      </c>
      <c r="H7" t="s">
        <v>32</v>
      </c>
    </row>
    <row r="8" spans="1:8" x14ac:dyDescent="0.25">
      <c r="A8" t="s">
        <v>21</v>
      </c>
      <c r="B8" s="3">
        <v>9</v>
      </c>
      <c r="C8" s="3">
        <v>0</v>
      </c>
      <c r="D8" s="3">
        <v>1</v>
      </c>
      <c r="E8" s="3">
        <v>2</v>
      </c>
      <c r="F8" t="s">
        <v>27</v>
      </c>
      <c r="G8" t="b">
        <v>0</v>
      </c>
      <c r="H8" t="s">
        <v>33</v>
      </c>
    </row>
    <row r="9" spans="1:8" x14ac:dyDescent="0.25">
      <c r="A9" t="s">
        <v>22</v>
      </c>
      <c r="B9" s="3">
        <v>10</v>
      </c>
      <c r="C9" s="3">
        <v>0</v>
      </c>
      <c r="D9" s="3">
        <v>2</v>
      </c>
      <c r="E9" s="3">
        <v>2</v>
      </c>
      <c r="F9" t="s">
        <v>27</v>
      </c>
      <c r="G9" t="b">
        <v>0</v>
      </c>
      <c r="H9" t="s">
        <v>34</v>
      </c>
    </row>
    <row r="10" spans="1:8" x14ac:dyDescent="0.25">
      <c r="A10" t="s">
        <v>44</v>
      </c>
      <c r="B10" s="3">
        <v>11</v>
      </c>
      <c r="C10" s="3">
        <v>11</v>
      </c>
      <c r="D10" s="3">
        <v>0</v>
      </c>
      <c r="E10" s="3">
        <v>0</v>
      </c>
      <c r="F10" t="s">
        <v>27</v>
      </c>
      <c r="G10" t="b">
        <v>1</v>
      </c>
      <c r="H10" t="s">
        <v>23</v>
      </c>
    </row>
    <row r="11" spans="1:8" x14ac:dyDescent="0.25">
      <c r="A11" t="s">
        <v>24</v>
      </c>
      <c r="B11" s="3">
        <v>11</v>
      </c>
      <c r="C11" s="3">
        <v>0</v>
      </c>
      <c r="D11" s="3">
        <v>4</v>
      </c>
      <c r="E11" s="3">
        <v>5</v>
      </c>
      <c r="F11" t="s">
        <v>27</v>
      </c>
      <c r="G11" t="b">
        <v>0</v>
      </c>
      <c r="H11" t="s">
        <v>35</v>
      </c>
    </row>
    <row r="12" spans="1:8" x14ac:dyDescent="0.25">
      <c r="A12" t="s">
        <v>25</v>
      </c>
      <c r="B12" s="3">
        <v>12</v>
      </c>
      <c r="C12" s="3">
        <v>25</v>
      </c>
      <c r="D12" s="3">
        <v>0</v>
      </c>
      <c r="E12" s="3">
        <v>0</v>
      </c>
      <c r="F12" t="s">
        <v>27</v>
      </c>
      <c r="G12" t="b">
        <v>1</v>
      </c>
      <c r="H12" t="s">
        <v>36</v>
      </c>
    </row>
    <row r="13" spans="1:8" x14ac:dyDescent="0.25">
      <c r="A13" t="s">
        <v>37</v>
      </c>
      <c r="B13" s="3">
        <v>1</v>
      </c>
      <c r="C13" s="3">
        <v>20</v>
      </c>
      <c r="D13" s="3">
        <v>0</v>
      </c>
      <c r="E13" s="3">
        <v>2</v>
      </c>
      <c r="F13" t="s">
        <v>27</v>
      </c>
      <c r="G13" t="b">
        <v>1</v>
      </c>
      <c r="H13" t="s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Holidays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</dc:creator>
  <cp:lastModifiedBy>Brendan</cp:lastModifiedBy>
  <dcterms:created xsi:type="dcterms:W3CDTF">2024-05-12T22:47:38Z</dcterms:created>
  <dcterms:modified xsi:type="dcterms:W3CDTF">2026-10-11T02:31:39Z</dcterms:modified>
</cp:coreProperties>
</file>